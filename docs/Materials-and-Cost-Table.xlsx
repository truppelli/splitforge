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ptrup\Downloads\"/>
    </mc:Choice>
  </mc:AlternateContent>
  <xr:revisionPtr revIDLastSave="0" documentId="13_ncr:1_{F8F57FF5-504A-4BCD-B84B-E3F708E3F5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0" i="1"/>
  <c r="G18" i="1"/>
</calcChain>
</file>

<file path=xl/sharedStrings.xml><?xml version="1.0" encoding="utf-8"?>
<sst xmlns="http://schemas.openxmlformats.org/spreadsheetml/2006/main" count="65" uniqueCount="58">
  <si>
    <t>Materials and Cost Table</t>
  </si>
  <si>
    <t xml:space="preserve">Project Name: </t>
  </si>
  <si>
    <t>Project Description:</t>
  </si>
  <si>
    <t>Team Lead Name:</t>
  </si>
  <si>
    <t>Team Lead Email:</t>
  </si>
  <si>
    <t>Prototype Component</t>
  </si>
  <si>
    <t>Quantity</t>
  </si>
  <si>
    <t>Material/Description</t>
  </si>
  <si>
    <t>Vendor</t>
  </si>
  <si>
    <t>Unit Price</t>
  </si>
  <si>
    <t>Total Price (pre tax)</t>
  </si>
  <si>
    <t>Notes</t>
  </si>
  <si>
    <t>Subtotal:</t>
  </si>
  <si>
    <t>Taxes:</t>
  </si>
  <si>
    <t>NOTE: Taxes are not reimbursable</t>
  </si>
  <si>
    <t>Shipping:</t>
  </si>
  <si>
    <t>Other:</t>
  </si>
  <si>
    <t>Total Cost:</t>
  </si>
  <si>
    <t>SplitForge</t>
  </si>
  <si>
    <t>Open source race timing software written in Rust, built to run at a race checkpoint on a Raspberry Pi and connected RFID sensors.</t>
  </si>
  <si>
    <t>ThingMagic M7E-PICO-CB</t>
  </si>
  <si>
    <t>UHF antenna</t>
  </si>
  <si>
    <t>Coax jumper + adapter reserve</t>
  </si>
  <si>
    <t>EPC Gen2 UHF inlays</t>
  </si>
  <si>
    <t>DS3231 RTC + CR2032</t>
  </si>
  <si>
    <t>Powered USB 2.0 hub</t>
  </si>
  <si>
    <t>High-endurance microSD</t>
  </si>
  <si>
    <t>Antenna stand and lane materials</t>
  </si>
  <si>
    <t>M7e-Pico module on carrier board · Impinj E310 · 902–928 MHz FCC · 0 to +24 dBm · USB + 3.3 V UART · DigiKey 22115323</t>
  </si>
  <si>
    <t>902–928 MHz · circular polarized · 6 dBi · IP65 · SMA-F · e.g. L-com LCANFP1031</t>
  </si>
  <si>
    <t>50 Ω low-loss · ≤ 3 ft · connectors matched to the CB and the antenna</t>
  </si>
  <si>
    <t>902–928 MHz wet inlay · bib-suitable · Alien ALN-9640 or Impinj M730 class</t>
  </si>
  <si>
    <t>I²C · TCXO ±2 ppm · coin-cell backed</t>
  </si>
  <si>
    <t>Self-powered · ≥ 2 A · standard-A downstream</t>
  </si>
  <si>
    <t>64 GB · A2 · high-endurance</t>
  </si>
  <si>
    <t>PVC or light tripod · clamps · zip ties · cones · gaffer tape</t>
  </si>
  <si>
    <t>The radio. Carrier board, not the bare 18×21 mm module - a bare module needs an RF/power/interface PCB that costs more than this in one-offs.</t>
  </si>
  <si>
    <t>The actual sensing surface. Circular polarization because a bib's orientation on a moving runner is not controllable.</t>
  </si>
  <si>
    <t>Held as a reserve, not pre-ordered. The CB's RF connector is unconfirmed — see the pre-order questions below.</t>
  </si>
  <si>
    <t>Read density, tag orientation, dedup window, and the RSSI threshold.</t>
  </si>
  <si>
    <t>The Pi 3 routes Ethernet through the same USB hub as its ports and fuses roughly 1.2 A across the lot. A module transmitting in bursts on the Pi's own port is a brownout waiting to be misdiagnosed as a software fault.</t>
  </si>
  <si>
    <t>Storage.</t>
  </si>
  <si>
    <t>Antenna placement is the calibration. A read zone you cannot reproduce next weekend is not a measurement.</t>
  </si>
  <si>
    <t>Battery.</t>
  </si>
  <si>
    <t>https://www.digikey.com/en/products/detail/thingmagic-a-jadak-brand/M7E-PICO-CB/22115323</t>
  </si>
  <si>
    <t>https://www.l-com.com/902-928-mhz-rfid-flat-panel-antenna-rhcp-6-dbi-white-abs-sma-female-ip65-lcanfp1031?srsltid=AfmBOopr-zsTNReWe2o9h1KAvfSgY1h_cSRrriNQBnJAuOm4gT-eiqEr</t>
  </si>
  <si>
    <t>https://www.walcottradio.com/rg8x-coax-cable-foot-length-38x-p-725.html</t>
  </si>
  <si>
    <t>Borrow</t>
  </si>
  <si>
    <t>https://www.adafruit.com/product/3013?srsltid=AfmBOordfBnnucwpJWkv6_rrBVykREJqWdInaAPxDB3Z1jlgi57Mblv_</t>
  </si>
  <si>
    <t>https://www.adafruit.com/product/961?srsltid=AfmBOoqvLTooCoV0sOcegb-OyJazdto91WbaGhNXJk-syP3GAS3ZT853</t>
  </si>
  <si>
    <t>Already have</t>
  </si>
  <si>
    <t>Raspberry Pi 3</t>
  </si>
  <si>
    <t>Core compute</t>
  </si>
  <si>
    <t>This will run the open source software.</t>
  </si>
  <si>
    <t>Home Depot</t>
  </si>
  <si>
    <t>N/A</t>
  </si>
  <si>
    <t>Phillip Truppelli</t>
  </si>
  <si>
    <t>phillip_truppelli@mines.edu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</si>
</sst>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396C"/>
        <bgColor indexed="64"/>
      </patternFill>
    </fill>
    <fill>
      <patternFill patternType="solid">
        <fgColor rgb="FF81848A"/>
        <bgColor indexed="64"/>
      </patternFill>
    </fill>
    <fill>
      <patternFill patternType="solid">
        <fgColor rgb="FFCFDCE9"/>
        <bgColor indexed="64"/>
      </patternFill>
    </fill>
  </fills>
  <borders count="38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rgb="FF000000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rgb="FF000000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rgb="FF000000"/>
      </right>
      <top style="thin">
        <color theme="2" tint="-0.749992370372631"/>
      </top>
      <bottom/>
      <diagonal/>
    </border>
    <border>
      <left style="medium">
        <color rgb="FF000000"/>
      </left>
      <right/>
      <top style="thin">
        <color theme="2" tint="-0.749992370372631"/>
      </top>
      <bottom style="medium">
        <color rgb="FF000000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medium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2" tint="-0.749992370372631"/>
      </bottom>
      <diagonal/>
    </border>
    <border>
      <left style="medium">
        <color rgb="FF000000"/>
      </left>
      <right/>
      <top/>
      <bottom style="thin">
        <color theme="2" tint="-0.749992370372631"/>
      </bottom>
      <diagonal/>
    </border>
    <border>
      <left style="medium">
        <color rgb="FF000000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 style="medium">
        <color rgb="FF000000"/>
      </bottom>
      <diagonal/>
    </border>
    <border>
      <left style="thin">
        <color theme="2" tint="-0.749992370372631"/>
      </left>
      <right style="medium">
        <color rgb="FF000000"/>
      </right>
      <top style="thin">
        <color theme="2" tint="-0.749992370372631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theme="2" tint="-0.749992370372631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theme="2" tint="-0.749992370372631"/>
      </left>
      <right style="medium">
        <color rgb="FF000000"/>
      </right>
      <top/>
      <bottom style="thin">
        <color theme="2" tint="-0.74999237037263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12" xfId="0" applyBorder="1" applyAlignment="1" applyProtection="1">
      <alignment wrapText="1"/>
      <protection locked="0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4" borderId="14" xfId="0" applyFont="1" applyFill="1" applyBorder="1" applyAlignment="1">
      <alignment vertical="top"/>
    </xf>
    <xf numFmtId="0" fontId="1" fillId="4" borderId="15" xfId="0" applyFont="1" applyFill="1" applyBorder="1" applyAlignment="1">
      <alignment horizontal="left"/>
    </xf>
    <xf numFmtId="0" fontId="1" fillId="4" borderId="36" xfId="0" applyFont="1" applyFill="1" applyBorder="1" applyAlignment="1">
      <alignment vertical="top"/>
    </xf>
    <xf numFmtId="0" fontId="1" fillId="4" borderId="34" xfId="0" applyFont="1" applyFill="1" applyBorder="1" applyAlignment="1">
      <alignment horizontal="left"/>
    </xf>
    <xf numFmtId="0" fontId="0" fillId="0" borderId="7" xfId="0" applyBorder="1" applyAlignment="1" applyProtection="1">
      <alignment wrapText="1"/>
      <protection locked="0"/>
    </xf>
    <xf numFmtId="0" fontId="0" fillId="0" borderId="8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1" xfId="0" applyBorder="1" applyAlignment="1" applyProtection="1">
      <alignment wrapText="1"/>
      <protection locked="0"/>
    </xf>
    <xf numFmtId="0" fontId="0" fillId="0" borderId="21" xfId="0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22" xfId="0" applyBorder="1" applyAlignment="1" applyProtection="1">
      <alignment wrapText="1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19" xfId="0" applyBorder="1" applyAlignment="1" applyProtection="1">
      <alignment horizontal="left"/>
      <protection locked="0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1" fillId="4" borderId="26" xfId="0" applyFont="1" applyFill="1" applyBorder="1" applyAlignment="1" applyProtection="1">
      <alignment horizontal="center" vertical="top"/>
      <protection locked="0"/>
    </xf>
    <xf numFmtId="0" fontId="1" fillId="4" borderId="27" xfId="0" applyFont="1" applyFill="1" applyBorder="1" applyAlignment="1" applyProtection="1">
      <alignment horizontal="center" vertical="top"/>
      <protection locked="0"/>
    </xf>
    <xf numFmtId="0" fontId="1" fillId="4" borderId="24" xfId="0" applyFont="1" applyFill="1" applyBorder="1" applyAlignment="1" applyProtection="1">
      <alignment horizontal="left"/>
      <protection locked="0"/>
    </xf>
    <xf numFmtId="0" fontId="1" fillId="4" borderId="37" xfId="0" applyFont="1" applyFill="1" applyBorder="1" applyAlignment="1" applyProtection="1">
      <alignment horizontal="left"/>
      <protection locked="0"/>
    </xf>
    <xf numFmtId="0" fontId="1" fillId="4" borderId="35" xfId="0" applyFont="1" applyFill="1" applyBorder="1" applyAlignment="1" applyProtection="1">
      <alignment horizontal="left"/>
      <protection locked="0"/>
    </xf>
    <xf numFmtId="0" fontId="1" fillId="4" borderId="31" xfId="0" applyFont="1" applyFill="1" applyBorder="1" applyAlignment="1" applyProtection="1">
      <alignment vertical="top"/>
      <protection locked="0"/>
    </xf>
    <xf numFmtId="0" fontId="1" fillId="4" borderId="32" xfId="0" applyFont="1" applyFill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6" fontId="0" fillId="0" borderId="3" xfId="0" applyNumberFormat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1848A"/>
      <color rgb="FFCFDCE9"/>
      <color rgb="FF879EC3"/>
      <color rgb="FF57A2BD"/>
      <color rgb="FF0939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F7" sqref="F7"/>
    </sheetView>
  </sheetViews>
  <sheetFormatPr defaultRowHeight="14.25" x14ac:dyDescent="0.45"/>
  <cols>
    <col min="2" max="2" width="20" customWidth="1"/>
    <col min="3" max="3" width="12.53125" customWidth="1"/>
    <col min="4" max="5" width="36.73046875" customWidth="1"/>
    <col min="6" max="6" width="19.265625" customWidth="1"/>
    <col min="7" max="7" width="18.53125" bestFit="1" customWidth="1"/>
    <col min="8" max="8" width="45.796875" customWidth="1"/>
  </cols>
  <sheetData>
    <row r="2" spans="2:8" ht="31.5" customHeight="1" x14ac:dyDescent="0.45">
      <c r="B2" s="31" t="s">
        <v>0</v>
      </c>
      <c r="C2" s="32"/>
      <c r="D2" s="32"/>
      <c r="E2" s="32"/>
      <c r="F2" s="32"/>
      <c r="G2" s="32"/>
      <c r="H2" s="33"/>
    </row>
    <row r="3" spans="2:8" ht="63" customHeight="1" x14ac:dyDescent="0.45">
      <c r="B3" s="13" t="s">
        <v>1</v>
      </c>
      <c r="C3" s="36" t="s">
        <v>18</v>
      </c>
      <c r="D3" s="36"/>
      <c r="E3" s="37"/>
      <c r="F3" s="15" t="s">
        <v>2</v>
      </c>
      <c r="G3" s="41" t="s">
        <v>19</v>
      </c>
      <c r="H3" s="42"/>
    </row>
    <row r="4" spans="2:8" x14ac:dyDescent="0.45">
      <c r="B4" s="14" t="s">
        <v>3</v>
      </c>
      <c r="C4" s="38" t="s">
        <v>56</v>
      </c>
      <c r="D4" s="38"/>
      <c r="E4" s="38"/>
      <c r="F4" s="16" t="s">
        <v>4</v>
      </c>
      <c r="G4" s="39" t="s">
        <v>57</v>
      </c>
      <c r="H4" s="40"/>
    </row>
    <row r="5" spans="2:8" x14ac:dyDescent="0.45">
      <c r="B5" s="4" t="s">
        <v>5</v>
      </c>
      <c r="C5" s="5" t="s">
        <v>6</v>
      </c>
      <c r="D5" s="5" t="s">
        <v>7</v>
      </c>
      <c r="E5" s="5" t="s">
        <v>8</v>
      </c>
      <c r="F5" s="11" t="s">
        <v>9</v>
      </c>
      <c r="G5" s="11" t="s">
        <v>10</v>
      </c>
      <c r="H5" s="12" t="s">
        <v>11</v>
      </c>
    </row>
    <row r="6" spans="2:8" ht="57" customHeight="1" x14ac:dyDescent="0.45">
      <c r="B6" s="1" t="inlineStr">
        <is>
          <t xml:space="preserve">SparkFun M7E Hecto RFID reader</t>
        </is>
      </c>
      <c r="C6" s="2">
        <v>1</v>
      </c>
      <c r="D6" s="2" t="inlineStr">
        <is>
          <t xml:space="preserve">M7E-HECTO module on SparkFun carrier · 902–928 MHz FCC · 0 to +27 dBm · USB-C (CH340C) + 3.3 V UART header · U.FL + on-board PCB antenna · SparkFun WRL-24738</t>
        </is>
      </c>
      <c r="E6" s="2" t="inlineStr">
        <is>
          <t xml:space="preserve">https://www.sparkfun.com/sparkfun-simultaneous-rfid-reader-m7e-hecto.html</t>
        </is>
      </c>
      <c r="F6" s="2">
        <v>309.95</v>
      </c>
      <c r="G6" s="2">
        <v>309.95</v>
      </c>
      <c r="H6" s="17" t="inlineStr">
        <is>
          <t xml:space="preserve">The radio. Replaces the M7E-PICO-CB ($345), which has no USB and needed a USB-UART bridge and Molex cable to reach the Pi. Same ThingMagic serial protocol, and +27 dBm rather than +24 dBm.</t>
        </is>
      </c>
    </row>
    <row r="7" spans="2:8" ht="71.25" x14ac:dyDescent="0.45">
      <c r="B7" s="1" t="s">
        <v>21</v>
      </c>
      <c r="C7" s="2">
        <v>1</v>
      </c>
      <c r="D7" s="2" t="s">
        <v>29</v>
      </c>
      <c r="E7" s="2" t="s">
        <v>45</v>
      </c>
      <c r="F7" s="2">
        <v>68.989999999999995</v>
      </c>
      <c r="G7" s="2">
        <v>68.989999999999995</v>
      </c>
      <c r="H7" s="17" t="s">
        <v>37</v>
      </c>
    </row>
    <row r="8" spans="2:8" ht="42.75" customHeight="1" x14ac:dyDescent="0.45">
      <c r="B8" s="1" t="inlineStr">
        <is>
          <t xml:space="preserve">U.FL to SMA pigtail</t>
        </is>
      </c>
      <c r="C8" s="2">
        <v>1</v>
      </c>
      <c r="D8" s="2" t="inlineStr">
        <is>
          <t xml:space="preserve">50 Ω RG178 · 15 cm · U.FL (I-PEX) to SMA male (standard polarity, not RP-SMA)</t>
        </is>
      </c>
      <c r="E8" s="2" t="inlineStr">
        <is>
          <t xml:space="preserve">https://www.amazon.com/POBADY-Coaxial-Pigtail-Wireless-Repeater/dp/B09N3L5NQT</t>
        </is>
      </c>
      <c r="F8" s="2">
        <v>9.99</v>
      </c>
      <c r="G8" s="2">
        <v>9.99</v>
      </c>
      <c r="H8" s="17" t="inlineStr">
        <is>
          <t xml:space="preserve">Joins the reader's U.FL port to the antenna's SMA-female. Price is an estimate; confirm at order.</t>
        </is>
      </c>
    </row>
    <row r="9" spans="2:8" ht="28.5" x14ac:dyDescent="0.45">
      <c r="B9" s="1" t="s">
        <v>23</v>
      </c>
      <c r="C9" s="2">
        <v>100</v>
      </c>
      <c r="D9" s="2" t="s">
        <v>31</v>
      </c>
      <c r="E9" s="2" t="s">
        <v>47</v>
      </c>
      <c r="F9" s="2" t="s">
        <v>47</v>
      </c>
      <c r="G9" s="2" t="s">
        <v>47</v>
      </c>
      <c r="H9" s="17" t="s">
        <v>39</v>
      </c>
    </row>
    <row r="10" spans="2:8" ht="57" customHeight="1" x14ac:dyDescent="0.45">
      <c r="B10" s="1" t="inlineStr">
        <is>
          <t xml:space="preserve">DS3231 RTC</t>
        </is>
      </c>
      <c r="C10" s="2">
        <v>1</v>
      </c>
      <c r="D10" s="2" t="inlineStr">
        <is>
          <t xml:space="preserve">I²C · TCXO ±2 ppm · takes a CR1220 coin cell (not included)</t>
        </is>
      </c>
      <c r="E10" s="2" t="inlineStr">
        <is>
          <t xml:space="preserve">https://www.adafruit.com/product/3013</t>
        </is>
      </c>
      <c r="F10" s="2">
        <v>17.5</v>
      </c>
      <c r="G10" s="2">
        <v>17.5</v>
      </c>
      <c r="H10" s="17" t="inlineStr">
        <is>
          <t xml:space="preserve">The Pi 4 has no battery-backed clock, and offline means no NTP. Adafruit ships the DS3231SN; cheaper modules may carry the ±5 ppm DS3231M.</t>
        </is>
      </c>
    </row>
    <row r="11" spans="2:8" ht="28.5" customHeight="1" x14ac:dyDescent="0.45">
      <c r="B11" s="1" t="inlineStr">
        <is>
          <t xml:space="preserve">CR1220 coin cell</t>
        </is>
      </c>
      <c r="C11" s="2">
        <v>1</v>
      </c>
      <c r="D11" s="2" t="inlineStr">
        <is>
          <t xml:space="preserve">3 V lithium · 12 mm</t>
        </is>
      </c>
      <c r="E11" s="2" t="inlineStr">
        <is>
          <t xml:space="preserve">https://www.adafruit.com/product/380</t>
        </is>
      </c>
      <c r="F11" s="2">
        <v>0.95</v>
      </c>
      <c r="G11" s="2">
        <v>0.95</v>
      </c>
      <c r="H11" s="17" t="inlineStr">
        <is>
          <t xml:space="preserve">Battery for the RTC. Out of stock at Adafruit when checked; any CR1220 works.</t>
        </is>
      </c>
    </row>
    <row r="12" spans="2:8" ht="57" customHeight="1" x14ac:dyDescent="0.45">
      <c r="B12" s="1" t="inlineStr">
        <is>
          <t xml:space="preserve">Raspberry Pi 4 Model B, 2 GB</t>
        </is>
      </c>
      <c r="C12" s="2">
        <v>1</v>
      </c>
      <c r="D12" s="2" t="inlineStr">
        <is>
          <t xml:space="preserve">BCM2711 · 4× Cortex-A72 · 2 GB · native Gigabit Ethernet · 2× USB 3.0 + 2× USB 2.0 · 64-bit Raspberry Pi OS</t>
        </is>
      </c>
      <c r="E12" s="2" t="inlineStr">
        <is>
          <t xml:space="preserve">https://www.pishop.us/product/raspberry-pi-4-model-b-2gb/</t>
        </is>
      </c>
      <c r="F12" s="2">
        <v>55</v>
      </c>
      <c r="G12" s="2">
        <v>55</v>
      </c>
      <c r="H12" s="17" t="inlineStr">
        <is>
          <t xml:space="preserve">Core compute; runs SplitForge. Ethernet is not on the USB bus as it is on the Pi 3, and the USB ports supply 1.2 A, so the reader needs no powered hub.</t>
        </is>
      </c>
    </row>
    <row r="13" spans="2:8" ht="42.75" customHeight="1" x14ac:dyDescent="0.45">
      <c r="B13" s="1" t="inlineStr">
        <is>
          <t xml:space="preserve">Raspberry Pi 15W USB-C power supply</t>
        </is>
      </c>
      <c r="C13" s="2">
        <v>1</v>
      </c>
      <c r="D13" s="2" t="inlineStr">
        <is>
          <t xml:space="preserve">5.1 V · 3 A · USB-C · official</t>
        </is>
      </c>
      <c r="E13" s="2" t="inlineStr">
        <is>
          <t xml:space="preserve">Already have</t>
        </is>
      </c>
      <c r="F13" s="2" t="inlineStr">
        <is>
          <t xml:space="preserve">Already have</t>
        </is>
      </c>
      <c r="G13" s="2" t="inlineStr">
        <is>
          <t xml:space="preserve">Already have</t>
        </is>
      </c>
      <c r="H13" s="17" t="inlineStr">
        <is>
          <t xml:space="preserve">The 3 A supply is what lets the Pi 4 give its USB ports 1.2 A; the reader draws over 0.7 A at +27 dBm.</t>
        </is>
      </c>
    </row>
    <row r="14" spans="2:8" ht="28.5" customHeight="1" x14ac:dyDescent="0.45">
      <c r="B14" s="1" t="inlineStr">
        <is>
          <t xml:space="preserve">High-endurance microSD</t>
        </is>
      </c>
      <c r="C14" s="2">
        <v>1</v>
      </c>
      <c r="D14" s="2" t="inlineStr">
        <is>
          <t xml:space="preserve">64 GB · A2 · high-endurance</t>
        </is>
      </c>
      <c r="E14" s="2" t="inlineStr">
        <is>
          <t xml:space="preserve">Already have</t>
        </is>
      </c>
      <c r="F14" s="2" t="inlineStr">
        <is>
          <t xml:space="preserve">Already have</t>
        </is>
      </c>
      <c r="G14" s="2" t="inlineStr">
        <is>
          <t xml:space="preserve">Already have</t>
        </is>
      </c>
      <c r="H14" s="17" t="inlineStr">
        <is>
          <t xml:space="preserve">Storage.</t>
        </is>
      </c>
    </row>
    <row r="15" spans="2:8" ht="42.75" customHeight="1" x14ac:dyDescent="0.45">
      <c r="B15" s="1" t="inlineStr">
        <is>
          <t xml:space="preserve">Antenna stand and lane materials</t>
        </is>
      </c>
      <c r="C15" s="2">
        <v>1</v>
      </c>
      <c r="D15" s="2" t="inlineStr">
        <is>
          <t xml:space="preserve">PVC or light tripod · clamps · zip ties · cones · gaffer tape</t>
        </is>
      </c>
      <c r="E15" s="2" t="inlineStr">
        <is>
          <t xml:space="preserve">Home Depot</t>
        </is>
      </c>
      <c r="F15" s="2">
        <v>15</v>
      </c>
      <c r="G15" s="2">
        <v>15</v>
      </c>
      <c r="H15" s="17" t="inlineStr">
        <is>
          <t xml:space="preserve">Antenna placement is the calibration. A read zone you cannot reproduce next weekend is not a measurement.</t>
        </is>
      </c>
    </row>
    <row r="16" spans="2:8" ht="42.75" customHeight="1" x14ac:dyDescent="0.45">
      <c r="B16" s="18" t="inlineStr">
        <is>
          <t xml:space="preserve">USB-C to USB-A cable</t>
        </is>
      </c>
      <c r="C16" s="19">
        <v>1</v>
      </c>
      <c r="D16" s="19" t="inlineStr">
        <is>
          <t xml:space="preserve">≤ 1 ft · data-capable, not charge-only</t>
        </is>
      </c>
      <c r="E16" s="19" t="inlineStr">
        <is>
          <t xml:space="preserve">Already have</t>
        </is>
      </c>
      <c r="F16" s="2" t="inlineStr">
        <is>
          <t xml:space="preserve">Already have</t>
        </is>
      </c>
      <c r="G16" s="2" t="inlineStr">
        <is>
          <t xml:space="preserve">Already have</t>
        </is>
      </c>
      <c r="H16" s="20" t="inlineStr">
        <is>
          <t xml:space="preserve">Joins the reader's USB-C port to the Pi. It is the reader's only data and power link.</t>
        </is>
      </c>
    </row>
    <row r="17" spans="2:8" x14ac:dyDescent="0.45">
      <c r="B17" s="21"/>
      <c r="C17" s="22"/>
      <c r="D17" s="3"/>
      <c r="E17" s="23"/>
      <c r="F17" s="24"/>
      <c r="G17" s="25"/>
      <c r="H17" s="26"/>
    </row>
    <row r="18" spans="2:8" ht="16.5" customHeight="1" x14ac:dyDescent="0.45">
      <c r="F18" s="6" t="s">
        <v>12</v>
      </c>
      <c r="G18" s="34">
        <f>SUM(G6,G7,G8,G10,G11,G12,G15)</f>
        <v>477.38</v>
      </c>
      <c r="H18" s="35"/>
    </row>
    <row r="19" spans="2:8" ht="15.75" customHeight="1" x14ac:dyDescent="0.45">
      <c r="F19" s="7" t="s">
        <v>13</v>
      </c>
      <c r="G19" s="27" t="s">
        <v>14</v>
      </c>
      <c r="H19" s="28"/>
    </row>
    <row r="20" spans="2:8" ht="16.5" customHeight="1" x14ac:dyDescent="0.45">
      <c r="F20" s="8" t="s">
        <v>15</v>
      </c>
      <c r="G20" s="27">
        <f>500-G18</f>
        <v>22.62</v>
      </c>
      <c r="H20" s="28"/>
    </row>
    <row r="21" spans="2:8" ht="16.5" customHeight="1" x14ac:dyDescent="0.45">
      <c r="F21" s="9" t="s">
        <v>16</v>
      </c>
      <c r="G21" s="27" t="s">
        <v>55</v>
      </c>
      <c r="H21" s="28"/>
    </row>
    <row r="22" spans="2:8" ht="15.75" customHeight="1" x14ac:dyDescent="0.45">
      <c r="F22" s="10" t="s">
        <v>17</v>
      </c>
      <c r="G22" s="29">
        <f>G18+G20</f>
        <v>500</v>
      </c>
      <c r="H22" s="30"/>
    </row>
  </sheetData>
  <sheetProtection sheet="1" objects="1" scenarios="1"/>
  <mergeCells count="10">
    <mergeCell ref="G19:H19"/>
    <mergeCell ref="G20:H20"/>
    <mergeCell ref="G22:H22"/>
    <mergeCell ref="G21:H21"/>
    <mergeCell ref="B2:H2"/>
    <mergeCell ref="G18:H18"/>
    <mergeCell ref="C3:E3"/>
    <mergeCell ref="C4:E4"/>
    <mergeCell ref="G4:H4"/>
    <mergeCell ref="G3:H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48610-ee4f-4dad-8285-cf27b245f7ae" xsi:nil="true"/>
    <lcf76f155ced4ddcb4097134ff3c332f xmlns="2fd3967d-ac65-40f4-bde3-68fcb0c52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407AF5CC5A94F86BE2D07A7500E65" ma:contentTypeVersion="13" ma:contentTypeDescription="Create a new document." ma:contentTypeScope="" ma:versionID="183478c0e9488d998d1b96ea1bb3913e">
  <xsd:schema xmlns:xsd="http://www.w3.org/2001/XMLSchema" xmlns:xs="http://www.w3.org/2001/XMLSchema" xmlns:p="http://schemas.microsoft.com/office/2006/metadata/properties" xmlns:ns2="2fd3967d-ac65-40f4-bde3-68fcb0c52f7c" xmlns:ns3="b2b48610-ee4f-4dad-8285-cf27b245f7ae" targetNamespace="http://schemas.microsoft.com/office/2006/metadata/properties" ma:root="true" ma:fieldsID="8e788d513cb2b4b629602f90e376f9ab" ns2:_="" ns3:_="">
    <xsd:import namespace="2fd3967d-ac65-40f4-bde3-68fcb0c52f7c"/>
    <xsd:import namespace="b2b48610-ee4f-4dad-8285-cf27b245f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3967d-ac65-40f4-bde3-68fcb0c52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92c282-ceba-42ac-8ce1-c7c398cdd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8610-ee4f-4dad-8285-cf27b245f7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ba3a0b5-9b7f-4d88-b7d6-7820810c96a1}" ma:internalName="TaxCatchAll" ma:showField="CatchAllData" ma:web="b2b48610-ee4f-4dad-8285-cf27b245f7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198F52-0DB4-461F-B015-08452C03F20C}">
  <ds:schemaRefs>
    <ds:schemaRef ds:uri="http://schemas.microsoft.com/office/2006/metadata/properties"/>
    <ds:schemaRef ds:uri="http://schemas.microsoft.com/office/infopath/2007/PartnerControls"/>
    <ds:schemaRef ds:uri="b2b48610-ee4f-4dad-8285-cf27b245f7ae"/>
    <ds:schemaRef ds:uri="2fd3967d-ac65-40f4-bde3-68fcb0c52f7c"/>
  </ds:schemaRefs>
</ds:datastoreItem>
</file>

<file path=customXml/itemProps2.xml><?xml version="1.0" encoding="utf-8"?>
<ds:datastoreItem xmlns:ds="http://schemas.openxmlformats.org/officeDocument/2006/customXml" ds:itemID="{E94A5CDF-4CA4-4D6C-ABA4-DDC08DDE9D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E7C1D-9490-4187-A2AB-9F836C36A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3967d-ac65-40f4-bde3-68fcb0c52f7c"/>
    <ds:schemaRef ds:uri="b2b48610-ee4f-4dad-8285-cf27b245f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Phillip Truppelli (Student)</cp:lastModifiedBy>
  <cp:revision/>
  <dcterms:created xsi:type="dcterms:W3CDTF">2024-11-19T20:34:11Z</dcterms:created>
  <dcterms:modified xsi:type="dcterms:W3CDTF">2026-08-25T08:04:34Z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0x010100F19407AF5CC5A94F86BE2D07A7500E65</vt:lpwstr>
  </property>
  <property fmtid="{D5CDD505-2E9C-101B-9397-08002B2CF9AE}" pid="3" name="MediaServiceImageTags">
    <vt:lpwstr/>
  </property>
</Properties>
</file>